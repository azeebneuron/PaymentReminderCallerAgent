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knovace Coatings" sheetId="1" r:id="rId4"/>
  </sheets>
  <definedNames/>
  <calcPr/>
</workbook>
</file>

<file path=xl/sharedStrings.xml><?xml version="1.0" encoding="utf-8"?>
<sst xmlns="http://schemas.openxmlformats.org/spreadsheetml/2006/main" count="45" uniqueCount="38">
  <si>
    <t>CONTIGO SOLUTIONS PVT LTD</t>
  </si>
  <si>
    <t>HNo. 1965, S.No. 163/3B/1, Krishna Sai Lane</t>
  </si>
  <si>
    <t>Opp Aker Solutions, Baner, Pune - 411045, Maharashtra, INDIA</t>
  </si>
  <si>
    <t>MSME NO- UDYAM-MH-26-0066420</t>
  </si>
  <si>
    <t>CIN: U74999PN2020PTC196644</t>
  </si>
  <si>
    <t xml:space="preserve">E-Mail : aggirish@contigo.co.in </t>
  </si>
  <si>
    <t>Teknovace Coatings</t>
  </si>
  <si>
    <t>Bill-wise Details</t>
  </si>
  <si>
    <t>1-Apr-25 to 31-Oct-25</t>
  </si>
  <si>
    <t>Pending Bills</t>
  </si>
  <si>
    <t>Date</t>
  </si>
  <si>
    <t>Ref. No./ Invoice No.</t>
  </si>
  <si>
    <t>Party's PO</t>
  </si>
  <si>
    <t>PO Date</t>
  </si>
  <si>
    <t>Opening</t>
  </si>
  <si>
    <t>Pending</t>
  </si>
  <si>
    <t>Due on</t>
  </si>
  <si>
    <t>Days till</t>
  </si>
  <si>
    <t/>
  </si>
  <si>
    <t>Amount</t>
  </si>
  <si>
    <t>Due Date</t>
  </si>
  <si>
    <t>CS-SI/2526/0056</t>
  </si>
  <si>
    <t>Verbal</t>
  </si>
  <si>
    <t>-144</t>
  </si>
  <si>
    <t>CS-SI/2526/0157</t>
  </si>
  <si>
    <t>PUN2526 / 10216</t>
  </si>
  <si>
    <t>-104</t>
  </si>
  <si>
    <t>CS-SI/2526/0320</t>
  </si>
  <si>
    <t>PUN2526 / 10583</t>
  </si>
  <si>
    <t>-41</t>
  </si>
  <si>
    <t>Outstanding Amount</t>
  </si>
  <si>
    <t>Contact Details :</t>
  </si>
  <si>
    <t>Name of Person</t>
  </si>
  <si>
    <t>Mobile No.</t>
  </si>
  <si>
    <t>Email ID</t>
  </si>
  <si>
    <t>Sandeep Lokhande</t>
  </si>
  <si>
    <t>srahulsingh7488@gmail.com</t>
  </si>
  <si>
    <t>Laxman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</si>
</sst>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_ * #,##0.00_ ;_ * \-#,##0.00_ ;_ * &quot;-&quot;??_ ;_ @_ "/>
  </numFmts>
  <fonts count="11">
    <font>
      <sz val="11.0"/>
      <color theme="1"/>
      <name val="Calibri"/>
      <scheme val="minor"/>
    </font>
    <font>
      <b/>
      <sz val="12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/>
    <font>
      <b/>
      <i/>
      <sz val="10.0"/>
      <color theme="1"/>
      <name val="Arial"/>
    </font>
    <font>
      <i/>
      <sz val="10.0"/>
      <color theme="1"/>
      <name val="Arial"/>
    </font>
    <font>
      <b/>
      <u/>
      <sz val="11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rgb="FF222222"/>
      <name val="Arial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vertical="top"/>
    </xf>
    <xf borderId="0" fillId="0" fontId="2" numFmtId="49" xfId="0" applyAlignment="1" applyFont="1" applyNumberFormat="1">
      <alignment horizontal="center" vertical="top"/>
    </xf>
    <xf borderId="0" fillId="0" fontId="2" numFmtId="0" xfId="0" applyAlignment="1" applyFont="1">
      <alignment vertical="top"/>
    </xf>
    <xf borderId="0" fillId="0" fontId="3" numFmtId="49" xfId="0" applyAlignment="1" applyFont="1" applyNumberFormat="1">
      <alignment horizontal="center" vertical="top"/>
    </xf>
    <xf borderId="1" fillId="0" fontId="3" numFmtId="49" xfId="0" applyAlignment="1" applyBorder="1" applyFont="1" applyNumberFormat="1">
      <alignment horizontal="right" vertical="top"/>
    </xf>
    <xf borderId="2" fillId="0" fontId="3" numFmtId="49" xfId="0" applyAlignment="1" applyBorder="1" applyFont="1" applyNumberFormat="1">
      <alignment horizontal="left" vertical="top"/>
    </xf>
    <xf borderId="3" fillId="0" fontId="3" numFmtId="49" xfId="0" applyAlignment="1" applyBorder="1" applyFont="1" applyNumberFormat="1">
      <alignment horizontal="left" vertical="top"/>
    </xf>
    <xf borderId="2" fillId="0" fontId="4" numFmtId="0" xfId="0" applyBorder="1" applyFont="1"/>
    <xf borderId="2" fillId="0" fontId="3" numFmtId="49" xfId="0" applyAlignment="1" applyBorder="1" applyFont="1" applyNumberFormat="1">
      <alignment horizontal="right" vertical="top"/>
    </xf>
    <xf borderId="2" fillId="0" fontId="5" numFmtId="49" xfId="0" applyAlignment="1" applyBorder="1" applyFont="1" applyNumberFormat="1">
      <alignment horizontal="right" vertical="top"/>
    </xf>
    <xf borderId="4" fillId="0" fontId="3" numFmtId="49" xfId="0" applyAlignment="1" applyBorder="1" applyFont="1" applyNumberFormat="1">
      <alignment horizontal="right" vertical="top"/>
    </xf>
    <xf borderId="5" fillId="0" fontId="3" numFmtId="49" xfId="0" applyAlignment="1" applyBorder="1" applyFont="1" applyNumberFormat="1">
      <alignment horizontal="left" vertical="top"/>
    </xf>
    <xf borderId="6" fillId="0" fontId="3" numFmtId="49" xfId="0" applyAlignment="1" applyBorder="1" applyFont="1" applyNumberFormat="1">
      <alignment horizontal="left" vertical="top"/>
    </xf>
    <xf borderId="5" fillId="0" fontId="4" numFmtId="0" xfId="0" applyBorder="1" applyFont="1"/>
    <xf borderId="5" fillId="0" fontId="3" numFmtId="49" xfId="0" applyAlignment="1" applyBorder="1" applyFont="1" applyNumberFormat="1">
      <alignment horizontal="right" vertical="top"/>
    </xf>
    <xf borderId="5" fillId="0" fontId="5" numFmtId="49" xfId="0" applyAlignment="1" applyBorder="1" applyFont="1" applyNumberFormat="1">
      <alignment horizontal="right" vertical="top"/>
    </xf>
    <xf borderId="4" fillId="0" fontId="3" numFmtId="15" xfId="0" applyAlignment="1" applyBorder="1" applyFont="1" applyNumberFormat="1">
      <alignment horizontal="right" vertical="top"/>
    </xf>
    <xf borderId="4" fillId="0" fontId="2" numFmtId="49" xfId="0" applyAlignment="1" applyBorder="1" applyFont="1" applyNumberFormat="1">
      <alignment horizontal="left" vertical="top"/>
    </xf>
    <xf borderId="7" fillId="0" fontId="2" numFmtId="49" xfId="0" applyAlignment="1" applyBorder="1" applyFont="1" applyNumberFormat="1">
      <alignment horizontal="left" vertical="top"/>
    </xf>
    <xf borderId="8" fillId="0" fontId="4" numFmtId="0" xfId="0" applyBorder="1" applyFont="1"/>
    <xf borderId="4" fillId="0" fontId="2" numFmtId="164" xfId="0" applyAlignment="1" applyBorder="1" applyFont="1" applyNumberFormat="1">
      <alignment horizontal="right" vertical="top"/>
    </xf>
    <xf borderId="4" fillId="0" fontId="2" numFmtId="165" xfId="0" applyAlignment="1" applyBorder="1" applyFont="1" applyNumberFormat="1">
      <alignment horizontal="right" vertical="top"/>
    </xf>
    <xf borderId="4" fillId="0" fontId="2" numFmtId="15" xfId="0" applyAlignment="1" applyBorder="1" applyFont="1" applyNumberFormat="1">
      <alignment horizontal="right" vertical="top"/>
    </xf>
    <xf borderId="4" fillId="0" fontId="6" numFmtId="49" xfId="0" applyAlignment="1" applyBorder="1" applyFont="1" applyNumberFormat="1">
      <alignment horizontal="right" vertical="top"/>
    </xf>
    <xf borderId="9" fillId="0" fontId="3" numFmtId="15" xfId="0" applyAlignment="1" applyBorder="1" applyFont="1" applyNumberFormat="1">
      <alignment horizontal="right" vertical="top"/>
    </xf>
    <xf borderId="9" fillId="0" fontId="2" numFmtId="49" xfId="0" applyAlignment="1" applyBorder="1" applyFont="1" applyNumberFormat="1">
      <alignment horizontal="left" vertical="top"/>
    </xf>
    <xf borderId="9" fillId="0" fontId="2" numFmtId="164" xfId="0" applyAlignment="1" applyBorder="1" applyFont="1" applyNumberFormat="1">
      <alignment horizontal="right" vertical="top"/>
    </xf>
    <xf borderId="9" fillId="0" fontId="2" numFmtId="165" xfId="0" applyAlignment="1" applyBorder="1" applyFont="1" applyNumberFormat="1">
      <alignment horizontal="right" vertical="top"/>
    </xf>
    <xf borderId="9" fillId="0" fontId="2" numFmtId="15" xfId="0" applyAlignment="1" applyBorder="1" applyFont="1" applyNumberFormat="1">
      <alignment horizontal="right" vertical="top"/>
    </xf>
    <xf borderId="9" fillId="0" fontId="6" numFmtId="49" xfId="0" applyAlignment="1" applyBorder="1" applyFont="1" applyNumberFormat="1">
      <alignment horizontal="right" vertical="top"/>
    </xf>
    <xf borderId="9" fillId="0" fontId="3" numFmtId="0" xfId="0" applyAlignment="1" applyBorder="1" applyFont="1">
      <alignment horizontal="right" vertical="top"/>
    </xf>
    <xf borderId="7" fillId="0" fontId="3" numFmtId="49" xfId="0" applyAlignment="1" applyBorder="1" applyFont="1" applyNumberFormat="1">
      <alignment horizontal="center" vertical="top"/>
    </xf>
    <xf borderId="10" fillId="0" fontId="4" numFmtId="0" xfId="0" applyBorder="1" applyFont="1"/>
    <xf borderId="9" fillId="0" fontId="3" numFmtId="165" xfId="0" applyAlignment="1" applyBorder="1" applyFont="1" applyNumberFormat="1">
      <alignment horizontal="right" vertical="top"/>
    </xf>
    <xf borderId="9" fillId="0" fontId="2" numFmtId="49" xfId="0" applyAlignment="1" applyBorder="1" applyFont="1" applyNumberFormat="1">
      <alignment horizontal="right" vertical="top"/>
    </xf>
    <xf borderId="0" fillId="0" fontId="7" numFmtId="0" xfId="0" applyFont="1"/>
    <xf borderId="7" fillId="0" fontId="8" numFmtId="0" xfId="0" applyBorder="1" applyFont="1"/>
    <xf borderId="9" fillId="0" fontId="8" numFmtId="0" xfId="0" applyBorder="1" applyFont="1"/>
    <xf borderId="8" fillId="0" fontId="8" numFmtId="0" xfId="0" applyBorder="1" applyFont="1"/>
    <xf borderId="9" fillId="0" fontId="9" numFmtId="0" xfId="0" applyBorder="1" applyFont="1"/>
    <xf borderId="7" fillId="0" fontId="9" numFmtId="0" xfId="0" applyBorder="1" applyFont="1"/>
    <xf borderId="8" fillId="0" fontId="9" numFmtId="0" xfId="0" applyAlignment="1" applyBorder="1" applyFont="1">
      <alignment readingOrder="0"/>
    </xf>
    <xf borderId="9" fillId="0" fontId="10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22.71"/>
    <col customWidth="1" min="3" max="3" width="2.71"/>
    <col customWidth="1" min="4" max="4" width="18.86"/>
    <col customWidth="1" min="5" max="5" width="10.14"/>
    <col customWidth="1" min="6" max="6" width="13.14"/>
    <col customWidth="1" min="7" max="7" width="13.29"/>
    <col customWidth="1" min="8" max="8" width="9.43"/>
    <col customWidth="1" min="9" max="9" width="9.29"/>
    <col customWidth="1" min="10" max="26" width="8.71"/>
  </cols>
  <sheetData>
    <row r="1">
      <c r="A1" s="1" t="s">
        <v>0</v>
      </c>
    </row>
    <row r="2">
      <c r="A2" s="2" t="s">
        <v>1</v>
      </c>
    </row>
    <row r="3">
      <c r="A3" s="2" t="s">
        <v>2</v>
      </c>
      <c r="I3" s="3"/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1" t="s">
        <v>6</v>
      </c>
    </row>
    <row r="8">
      <c r="A8" s="2" t="s">
        <v>7</v>
      </c>
    </row>
    <row r="9">
      <c r="A9" s="2" t="s">
        <v>8</v>
      </c>
    </row>
    <row r="10">
      <c r="A10" s="4" t="s">
        <v>9</v>
      </c>
    </row>
    <row r="11">
      <c r="A11" s="5" t="s">
        <v>10</v>
      </c>
      <c r="B11" s="6" t="s">
        <v>11</v>
      </c>
      <c r="C11" s="7" t="s">
        <v>12</v>
      </c>
      <c r="D11" s="8"/>
      <c r="E11" s="9" t="s">
        <v>13</v>
      </c>
      <c r="F11" s="9" t="s">
        <v>14</v>
      </c>
      <c r="G11" s="9" t="s">
        <v>15</v>
      </c>
      <c r="H11" s="9" t="s">
        <v>16</v>
      </c>
      <c r="I11" s="10" t="s">
        <v>17</v>
      </c>
    </row>
    <row r="12">
      <c r="A12" s="11" t="s">
        <v>18</v>
      </c>
      <c r="B12" s="12" t="s">
        <v>18</v>
      </c>
      <c r="C12" s="13" t="s">
        <v>18</v>
      </c>
      <c r="D12" s="14"/>
      <c r="E12" s="15" t="s">
        <v>18</v>
      </c>
      <c r="F12" s="15" t="s">
        <v>19</v>
      </c>
      <c r="G12" s="15" t="s">
        <v>19</v>
      </c>
      <c r="H12" s="15" t="s">
        <v>18</v>
      </c>
      <c r="I12" s="16" t="s">
        <v>20</v>
      </c>
    </row>
    <row r="13">
      <c r="A13" s="17">
        <v>45772.0</v>
      </c>
      <c r="B13" s="18" t="s">
        <v>21</v>
      </c>
      <c r="C13" s="19" t="s">
        <v>22</v>
      </c>
      <c r="D13" s="20"/>
      <c r="E13" s="21">
        <v>45772.0</v>
      </c>
      <c r="F13" s="22">
        <v>55696.0</v>
      </c>
      <c r="G13" s="22">
        <v>55696.0</v>
      </c>
      <c r="H13" s="23">
        <v>45817.0</v>
      </c>
      <c r="I13" s="24" t="s">
        <v>23</v>
      </c>
    </row>
    <row r="14">
      <c r="A14" s="25">
        <v>45812.0</v>
      </c>
      <c r="B14" s="26" t="s">
        <v>24</v>
      </c>
      <c r="C14" s="19" t="s">
        <v>25</v>
      </c>
      <c r="D14" s="20"/>
      <c r="E14" s="27">
        <v>45803.0</v>
      </c>
      <c r="F14" s="28">
        <v>33984.0</v>
      </c>
      <c r="G14" s="28">
        <v>33984.0</v>
      </c>
      <c r="H14" s="29">
        <v>45857.0</v>
      </c>
      <c r="I14" s="30" t="s">
        <v>26</v>
      </c>
    </row>
    <row r="15">
      <c r="A15" s="25">
        <v>45875.0</v>
      </c>
      <c r="B15" s="26" t="s">
        <v>27</v>
      </c>
      <c r="C15" s="19" t="s">
        <v>28</v>
      </c>
      <c r="D15" s="20"/>
      <c r="E15" s="27">
        <v>45874.0</v>
      </c>
      <c r="F15" s="28">
        <v>208278.0</v>
      </c>
      <c r="G15" s="28">
        <v>208278.0</v>
      </c>
      <c r="H15" s="29">
        <v>45920.0</v>
      </c>
      <c r="I15" s="30" t="s">
        <v>29</v>
      </c>
    </row>
    <row r="16">
      <c r="A16" s="31"/>
      <c r="B16" s="32" t="s">
        <v>30</v>
      </c>
      <c r="C16" s="33"/>
      <c r="D16" s="33"/>
      <c r="E16" s="20"/>
      <c r="F16" s="34">
        <f t="shared" ref="F16:G16" si="1">SUM(F13:F15)</f>
        <v>297958</v>
      </c>
      <c r="G16" s="34">
        <f t="shared" si="1"/>
        <v>297958</v>
      </c>
      <c r="H16" s="35" t="s">
        <v>18</v>
      </c>
      <c r="I16" s="30" t="s">
        <v>18</v>
      </c>
    </row>
    <row r="19">
      <c r="B19" s="36" t="s">
        <v>31</v>
      </c>
    </row>
    <row r="20">
      <c r="B20" s="36"/>
    </row>
    <row r="21" ht="15.75" customHeight="1">
      <c r="B21" s="37" t="s">
        <v>32</v>
      </c>
      <c r="C21" s="38"/>
      <c r="D21" s="39" t="s">
        <v>33</v>
      </c>
      <c r="E21" s="38" t="s">
        <v>34</v>
      </c>
      <c r="F21" s="38"/>
      <c r="G21" s="40"/>
    </row>
    <row r="22" ht="15.75" customHeight="1">
      <c r="B22" s="41" t="s">
        <v>35</v>
      </c>
      <c r="C22" s="40"/>
      <c r="D22" s="42">
        <v>8.210073691E9</v>
      </c>
      <c r="E22" s="43" t="s">
        <v>36</v>
      </c>
      <c r="F22" s="40"/>
      <c r="G22" s="40"/>
    </row>
    <row r="23" ht="15.75" customHeight="1">
      <c r="B23" s="41" t="s">
        <v>37</v>
      </c>
      <c r="C23" s="40"/>
      <c r="D23" s="42">
        <v>9.955994798E9</v>
      </c>
      <c r="E23" s="40"/>
      <c r="F23" s="40"/>
      <c r="G23" s="40"/>
    </row>
    <row r="24" ht="15.75" customHeight="1">
      <c r="B24" s="3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I1"/>
    <mergeCell ref="A2:I2"/>
    <mergeCell ref="A3:H3"/>
    <mergeCell ref="A4:I4"/>
    <mergeCell ref="A5:I5"/>
    <mergeCell ref="A6:I6"/>
    <mergeCell ref="A7:I7"/>
    <mergeCell ref="C15:D15"/>
    <mergeCell ref="B16:E16"/>
    <mergeCell ref="A8:I8"/>
    <mergeCell ref="A9:I9"/>
    <mergeCell ref="A10:I10"/>
    <mergeCell ref="C11:D11"/>
    <mergeCell ref="C12:D12"/>
    <mergeCell ref="C13:D13"/>
    <mergeCell ref="C14:D14"/>
  </mergeCells>
  <printOptions/>
  <pageMargins bottom="0.75" footer="0.0" header="0.0" left="0.7" right="0.7" top="0.75"/>
  <pageSetup paperSize="9" orientation="portrait"/>
  <drawing r:id="rId1"/>
</worksheet>
</file>